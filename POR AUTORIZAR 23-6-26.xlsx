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rick\OneDrive\Escritorio\Schneider Tanning\"/>
    </mc:Choice>
  </mc:AlternateContent>
  <xr:revisionPtr revIDLastSave="0" documentId="13_ncr:1_{63AAA25D-4057-4A24-9E47-C06DB8025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BRIEL ARANDA ZENDEJAS" sheetId="7" r:id="rId1"/>
    <sheet name="INTERNA" sheetId="1" r:id="rId2"/>
    <sheet name="EXTERNA" sheetId="2" r:id="rId3"/>
  </sheets>
  <definedNames>
    <definedName name="_xlnm.Print_Area" localSheetId="2">EXTERNA!$B$3:$M$55</definedName>
    <definedName name="_xlnm.Print_Area" localSheetId="0">'GABRIEL ARANDA ZENDEJAS'!$B$3:$M$55</definedName>
    <definedName name="_xlnm.Print_Area" localSheetId="1">INTERNA!$B$3:$M$55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" l="1"/>
  <c r="K31" i="2" s="1"/>
  <c r="I38" i="2" s="1"/>
  <c r="K27" i="7"/>
  <c r="K25" i="7"/>
  <c r="K23" i="7"/>
  <c r="K21" i="7"/>
  <c r="K30" i="7" l="1"/>
  <c r="I36" i="7" s="1"/>
  <c r="I40" i="7" s="1"/>
  <c r="K44" i="7" s="1"/>
  <c r="I38" i="7" l="1"/>
  <c r="K26" i="2"/>
  <c r="K24" i="2"/>
  <c r="K28" i="2"/>
  <c r="K27" i="1"/>
  <c r="K25" i="1"/>
  <c r="K23" i="1"/>
  <c r="K21" i="1"/>
  <c r="K30" i="1" l="1"/>
  <c r="I36" i="1" s="1"/>
  <c r="I40" i="1" s="1"/>
  <c r="K44" i="1" s="1"/>
  <c r="I38" i="1" l="1"/>
  <c r="K4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</author>
  </authors>
  <commentList>
    <comment ref="B23" authorId="0" shapeId="0" xr:uid="{DD19744B-1AB6-4385-883C-AFAB54181586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LIMPIEZA A NIVEL PROFUNDO (ENSIAS) </t>
        </r>
      </text>
    </comment>
    <comment ref="B27" authorId="0" shapeId="0" xr:uid="{CB2EB409-1CD8-4124-913E-BD8021D6D451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RESTAURACIONES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</author>
  </authors>
  <commentList>
    <comment ref="B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LIMPIEZA A NIVEL PROFUNDO (ENSIAS) </t>
        </r>
      </text>
    </comment>
    <comment ref="B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RESTAURACIONES</t>
        </r>
      </text>
    </comment>
  </commentList>
</comments>
</file>

<file path=xl/sharedStrings.xml><?xml version="1.0" encoding="utf-8"?>
<sst xmlns="http://schemas.openxmlformats.org/spreadsheetml/2006/main" count="88" uniqueCount="35">
  <si>
    <t xml:space="preserve">ORDEN DE SERVICIO DENTAL </t>
  </si>
  <si>
    <t>FOLIO:</t>
  </si>
  <si>
    <t xml:space="preserve">FECHA: </t>
  </si>
  <si>
    <t xml:space="preserve">NOMBRE DEL PACIENTE: </t>
  </si>
  <si>
    <t xml:space="preserve">TRATAMIENTO A REALIZAR </t>
  </si>
  <si>
    <t>TRATAMIENTO</t>
  </si>
  <si>
    <t>CANT.</t>
  </si>
  <si>
    <t xml:space="preserve">COSTO UNITARIO </t>
  </si>
  <si>
    <t xml:space="preserve">TOTAL </t>
  </si>
  <si>
    <t xml:space="preserve">PRÓTESIS </t>
  </si>
  <si>
    <t xml:space="preserve">TOTAL A PAGAR </t>
  </si>
  <si>
    <t xml:space="preserve">FORMA DE PAGO </t>
  </si>
  <si>
    <t xml:space="preserve">SUBSIDIO 50% - 50% A 18 SEMANAS </t>
  </si>
  <si>
    <t xml:space="preserve">SEMANAS A PAGAR </t>
  </si>
  <si>
    <t xml:space="preserve">FIRMAS DE CONFORMIDAD </t>
  </si>
  <si>
    <t xml:space="preserve">FIRMA DEL COLABORADOR </t>
  </si>
  <si>
    <t xml:space="preserve">FIRMA DEL MÉDICO TRATANTE </t>
  </si>
  <si>
    <t xml:space="preserve">xxxx xxxxxx xxxxxx xxxxxx </t>
  </si>
  <si>
    <t xml:space="preserve">Dr. Erick Mancilla Chio  </t>
  </si>
  <si>
    <t>SERVICIO EXTERNO</t>
  </si>
  <si>
    <t>SERVICIO INTERNO</t>
  </si>
  <si>
    <t>MONTO A PAGAR POR SEMANA</t>
  </si>
  <si>
    <t>RESINAS</t>
  </si>
  <si>
    <t>PERIODONTAL</t>
  </si>
  <si>
    <t>MONTO DE SUBSIDIO EMPRESA (50%)</t>
  </si>
  <si>
    <t>MONTO A PAGAR CON SUBSIDIO: (50%)</t>
  </si>
  <si>
    <t>TOTAL</t>
  </si>
  <si>
    <t>COSTO TOTAL DEL TRATAMIENTO</t>
  </si>
  <si>
    <t xml:space="preserve">EL MONTO MINIMO A PAGAR POR SEMANA ES DE $200 </t>
  </si>
  <si>
    <t>COLOCAR NOMBRE DE TRATAMIENTO</t>
  </si>
  <si>
    <t>MARCAR CON UNA "X"</t>
  </si>
  <si>
    <t xml:space="preserve">PRÉSTAMO EMPRESARIAL (52 SEMANAS MAXIMO) </t>
  </si>
  <si>
    <t>NOTA: EL DESCUENTO SE REALIZARA VÍA NÓMINA DE MANERA SEMANAL HASTA LIQUIDAR.</t>
  </si>
  <si>
    <t xml:space="preserve">EXTRACCIONES </t>
  </si>
  <si>
    <t>GABRIEL ARANDA ZENDEJAS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</si>
</sst>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sz val="8"/>
      <color theme="1"/>
      <name val="Arial Black"/>
      <family val="2"/>
    </font>
    <font>
      <b/>
      <sz val="8"/>
      <color rgb="FFFF0000"/>
      <name val="Arial"/>
      <family val="2"/>
    </font>
    <font>
      <sz val="6"/>
      <color theme="1"/>
      <name val="Arial Black"/>
      <family val="2"/>
    </font>
    <font>
      <sz val="32"/>
      <color theme="0"/>
      <name val="Arial Black"/>
      <family val="2"/>
    </font>
    <font>
      <b/>
      <sz val="8"/>
      <color rgb="FFFF0000"/>
      <name val="Arial Black"/>
      <family val="2"/>
    </font>
    <font>
      <sz val="4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/>
    <xf numFmtId="0" fontId="3" fillId="0" borderId="0" xfId="1" applyFont="1"/>
    <xf numFmtId="0" fontId="3" fillId="0" borderId="4" xfId="1" applyFont="1" applyBorder="1"/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3" borderId="0" xfId="1" applyFont="1" applyFill="1"/>
    <xf numFmtId="0" fontId="4" fillId="3" borderId="0" xfId="1" applyFont="1" applyFill="1" applyAlignment="1">
      <alignment horizontal="center"/>
    </xf>
    <xf numFmtId="0" fontId="2" fillId="0" borderId="0" xfId="1" applyAlignment="1">
      <alignment horizontal="center"/>
    </xf>
    <xf numFmtId="0" fontId="2" fillId="0" borderId="5" xfId="1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3" fillId="0" borderId="4" xfId="1" applyFont="1" applyBorder="1" applyAlignment="1">
      <alignment horizontal="center"/>
    </xf>
    <xf numFmtId="0" fontId="3" fillId="0" borderId="0" xfId="0" applyFont="1"/>
    <xf numFmtId="0" fontId="9" fillId="0" borderId="0" xfId="1" applyFont="1" applyAlignment="1">
      <alignment horizontal="center"/>
    </xf>
    <xf numFmtId="0" fontId="3" fillId="0" borderId="5" xfId="1" applyFont="1" applyBorder="1"/>
    <xf numFmtId="165" fontId="3" fillId="0" borderId="0" xfId="1" applyNumberFormat="1" applyFont="1" applyAlignment="1">
      <alignment horizontal="left"/>
    </xf>
    <xf numFmtId="165" fontId="3" fillId="0" borderId="0" xfId="1" applyNumberFormat="1" applyFont="1"/>
    <xf numFmtId="165" fontId="3" fillId="0" borderId="1" xfId="1" applyNumberFormat="1" applyFont="1" applyBorder="1" applyAlignment="1">
      <alignment horizontal="left"/>
    </xf>
    <xf numFmtId="165" fontId="3" fillId="0" borderId="2" xfId="1" applyNumberFormat="1" applyFont="1" applyBorder="1" applyAlignment="1">
      <alignment horizontal="left"/>
    </xf>
    <xf numFmtId="165" fontId="3" fillId="0" borderId="3" xfId="1" applyNumberFormat="1" applyFont="1" applyBorder="1" applyAlignment="1">
      <alignment horizontal="left"/>
    </xf>
    <xf numFmtId="0" fontId="7" fillId="0" borderId="9" xfId="1" applyFont="1" applyBorder="1" applyAlignment="1">
      <alignment vertical="top" wrapText="1"/>
    </xf>
    <xf numFmtId="0" fontId="7" fillId="0" borderId="0" xfId="1" applyFont="1" applyAlignment="1">
      <alignment horizontal="center" vertical="top"/>
    </xf>
    <xf numFmtId="0" fontId="10" fillId="0" borderId="9" xfId="1" applyFont="1" applyBorder="1" applyAlignment="1">
      <alignment horizontal="center" vertical="top"/>
    </xf>
    <xf numFmtId="0" fontId="9" fillId="0" borderId="0" xfId="1" applyFont="1" applyAlignment="1">
      <alignment horizontal="center"/>
    </xf>
    <xf numFmtId="0" fontId="4" fillId="3" borderId="0" xfId="1" applyFont="1" applyFill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165" fontId="3" fillId="2" borderId="1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165" fontId="3" fillId="2" borderId="3" xfId="1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165" fontId="3" fillId="0" borderId="3" xfId="0" applyNumberFormat="1" applyFont="1" applyBorder="1" applyAlignment="1">
      <alignment horizontal="center" wrapText="1"/>
    </xf>
    <xf numFmtId="165" fontId="3" fillId="0" borderId="1" xfId="1" applyNumberFormat="1" applyFont="1" applyBorder="1" applyAlignment="1">
      <alignment horizontal="left"/>
    </xf>
    <xf numFmtId="165" fontId="3" fillId="0" borderId="3" xfId="1" applyNumberFormat="1" applyFont="1" applyBorder="1" applyAlignment="1">
      <alignment horizontal="left"/>
    </xf>
    <xf numFmtId="165" fontId="3" fillId="0" borderId="2" xfId="1" applyNumberFormat="1" applyFont="1" applyBorder="1" applyAlignment="1">
      <alignment horizontal="left"/>
    </xf>
    <xf numFmtId="0" fontId="7" fillId="0" borderId="9" xfId="1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65" fontId="3" fillId="0" borderId="1" xfId="3" applyNumberFormat="1" applyFont="1" applyBorder="1" applyAlignment="1">
      <alignment horizontal="center" wrapText="1"/>
    </xf>
    <xf numFmtId="165" fontId="3" fillId="0" borderId="2" xfId="3" applyNumberFormat="1" applyFont="1" applyBorder="1" applyAlignment="1">
      <alignment horizontal="center" wrapText="1"/>
    </xf>
    <xf numFmtId="165" fontId="3" fillId="0" borderId="3" xfId="3" applyNumberFormat="1" applyFont="1" applyBorder="1" applyAlignment="1">
      <alignment horizontal="center" wrapText="1"/>
    </xf>
    <xf numFmtId="0" fontId="8" fillId="3" borderId="8" xfId="1" applyFont="1" applyFill="1" applyBorder="1" applyAlignment="1">
      <alignment horizontal="right" vertical="center" wrapText="1"/>
    </xf>
    <xf numFmtId="0" fontId="8" fillId="3" borderId="9" xfId="1" applyFont="1" applyFill="1" applyBorder="1" applyAlignment="1">
      <alignment horizontal="right" vertical="center" wrapText="1"/>
    </xf>
    <xf numFmtId="0" fontId="8" fillId="3" borderId="10" xfId="1" applyFont="1" applyFill="1" applyBorder="1" applyAlignment="1">
      <alignment horizontal="right" vertical="center" wrapText="1"/>
    </xf>
    <xf numFmtId="0" fontId="8" fillId="3" borderId="7" xfId="1" applyFont="1" applyFill="1" applyBorder="1" applyAlignment="1">
      <alignment horizontal="right" vertical="center" wrapText="1"/>
    </xf>
    <xf numFmtId="0" fontId="8" fillId="3" borderId="0" xfId="1" applyFont="1" applyFill="1" applyAlignment="1">
      <alignment horizontal="right" vertical="center" wrapText="1"/>
    </xf>
    <xf numFmtId="0" fontId="8" fillId="3" borderId="6" xfId="1" applyFont="1" applyFill="1" applyBorder="1" applyAlignment="1">
      <alignment horizontal="right" vertical="center" wrapText="1"/>
    </xf>
    <xf numFmtId="0" fontId="8" fillId="3" borderId="11" xfId="1" applyFont="1" applyFill="1" applyBorder="1" applyAlignment="1">
      <alignment horizontal="right" vertical="center" wrapText="1"/>
    </xf>
    <xf numFmtId="0" fontId="8" fillId="3" borderId="5" xfId="1" applyFont="1" applyFill="1" applyBorder="1" applyAlignment="1">
      <alignment horizontal="right" vertical="center" wrapText="1"/>
    </xf>
    <xf numFmtId="0" fontId="8" fillId="3" borderId="12" xfId="1" applyFont="1" applyFill="1" applyBorder="1" applyAlignment="1">
      <alignment horizontal="right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14" fontId="3" fillId="0" borderId="1" xfId="1" applyNumberFormat="1" applyFont="1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2" fillId="0" borderId="3" xfId="1" applyBorder="1" applyAlignment="1">
      <alignment horizontal="center"/>
    </xf>
    <xf numFmtId="165" fontId="3" fillId="2" borderId="1" xfId="1" applyNumberFormat="1" applyFont="1" applyFill="1" applyBorder="1" applyAlignment="1">
      <alignment horizontal="left"/>
    </xf>
    <xf numFmtId="165" fontId="3" fillId="2" borderId="2" xfId="1" applyNumberFormat="1" applyFont="1" applyFill="1" applyBorder="1" applyAlignment="1">
      <alignment horizontal="left"/>
    </xf>
    <xf numFmtId="165" fontId="3" fillId="2" borderId="3" xfId="1" applyNumberFormat="1" applyFont="1" applyFill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</cellXfs>
  <cellStyles count="4">
    <cellStyle name="Moneda" xfId="3" builtinId="4"/>
    <cellStyle name="Moned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</xdr:colOff>
      <xdr:row>1</xdr:row>
      <xdr:rowOff>244848</xdr:rowOff>
    </xdr:from>
    <xdr:to>
      <xdr:col>3</xdr:col>
      <xdr:colOff>607919</xdr:colOff>
      <xdr:row>5</xdr:row>
      <xdr:rowOff>220942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02A5D8-9704-47CB-B059-38167A6F3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944" y="435348"/>
          <a:ext cx="2200275" cy="871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</xdr:colOff>
      <xdr:row>1</xdr:row>
      <xdr:rowOff>244848</xdr:rowOff>
    </xdr:from>
    <xdr:to>
      <xdr:col>3</xdr:col>
      <xdr:colOff>607919</xdr:colOff>
      <xdr:row>5</xdr:row>
      <xdr:rowOff>220942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844" y="480172"/>
          <a:ext cx="2124075" cy="941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0</xdr:rowOff>
    </xdr:from>
    <xdr:to>
      <xdr:col>3</xdr:col>
      <xdr:colOff>609600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90525"/>
          <a:ext cx="212407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4107-974B-44A3-9DD7-3592DC145CCE}">
  <sheetPr>
    <pageSetUpPr fitToPage="1"/>
  </sheetPr>
  <dimension ref="B2:M54"/>
  <sheetViews>
    <sheetView tabSelected="1" topLeftCell="A8" zoomScale="85" zoomScaleNormal="85" workbookViewId="0">
      <selection activeCell="N35" sqref="N35"/>
    </sheetView>
  </sheetViews>
  <sheetFormatPr baseColWidth="10" defaultColWidth="11.42578125" defaultRowHeight="18.75" x14ac:dyDescent="0.4"/>
  <cols>
    <col min="1" max="7" width="11.42578125" style="17"/>
    <col min="8" max="8" width="18.5703125" style="17" customWidth="1"/>
    <col min="9" max="16384" width="11.42578125" style="17"/>
  </cols>
  <sheetData>
    <row r="2" spans="2:13" ht="19.5" thickBot="1" x14ac:dyDescent="0.4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4">
      <c r="B3" s="54" t="s">
        <v>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2:13" x14ac:dyDescent="0.4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</row>
    <row r="5" spans="2:13" x14ac:dyDescent="0.4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2:13" ht="19.5" thickBot="1" x14ac:dyDescent="0.4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2:13" ht="19.5" thickBot="1" x14ac:dyDescent="0.4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9.5" thickBot="1" x14ac:dyDescent="0.45">
      <c r="B8" s="63" t="s">
        <v>20</v>
      </c>
      <c r="C8" s="64"/>
      <c r="D8" s="64"/>
      <c r="E8" s="64"/>
      <c r="F8" s="64"/>
      <c r="G8" s="64"/>
      <c r="H8" s="64"/>
      <c r="I8" s="64"/>
      <c r="J8" s="2"/>
      <c r="K8" s="4" t="s">
        <v>1</v>
      </c>
      <c r="L8" s="32">
        <v>24</v>
      </c>
      <c r="M8" s="34"/>
    </row>
    <row r="9" spans="2:13" ht="19.5" thickBot="1" x14ac:dyDescent="0.45">
      <c r="B9" s="65"/>
      <c r="C9" s="66"/>
      <c r="D9" s="66"/>
      <c r="E9" s="66"/>
      <c r="F9" s="66"/>
      <c r="G9" s="66"/>
      <c r="H9" s="66"/>
      <c r="I9" s="66"/>
      <c r="J9" s="2"/>
      <c r="K9" s="5"/>
      <c r="L9" s="2"/>
      <c r="M9" s="2"/>
    </row>
    <row r="10" spans="2:13" ht="19.5" thickBot="1" x14ac:dyDescent="0.45">
      <c r="B10" s="2"/>
      <c r="C10" s="2"/>
      <c r="D10" s="2"/>
      <c r="E10" s="2"/>
      <c r="F10" s="2"/>
      <c r="G10" s="2"/>
      <c r="H10" s="2"/>
      <c r="I10" s="2"/>
      <c r="J10" s="2"/>
      <c r="K10" s="6" t="s">
        <v>2</v>
      </c>
      <c r="L10" s="67">
        <v>46196</v>
      </c>
      <c r="M10" s="34"/>
    </row>
    <row r="11" spans="2:13" ht="19.5" thickBot="1" x14ac:dyDescent="0.45">
      <c r="B11" s="2"/>
      <c r="C11" s="2"/>
      <c r="D11" s="2"/>
      <c r="E11" s="2"/>
      <c r="F11" s="2"/>
      <c r="G11" s="2"/>
      <c r="H11" s="2"/>
      <c r="I11" s="2"/>
      <c r="J11" s="2"/>
      <c r="K11" s="5"/>
      <c r="L11" s="11"/>
      <c r="M11" s="11"/>
    </row>
    <row r="12" spans="2:13" ht="18.75" customHeight="1" thickBot="1" x14ac:dyDescent="0.45">
      <c r="B12" s="68" t="s">
        <v>3</v>
      </c>
      <c r="C12" s="68"/>
      <c r="D12" s="68"/>
      <c r="E12" s="69" t="s">
        <v>34</v>
      </c>
      <c r="F12" s="70"/>
      <c r="G12" s="70"/>
      <c r="H12" s="70"/>
      <c r="I12" s="70"/>
      <c r="J12" s="70"/>
      <c r="K12" s="70"/>
      <c r="L12" s="70"/>
      <c r="M12" s="71"/>
    </row>
    <row r="13" spans="2:13" x14ac:dyDescent="0.4">
      <c r="B13" s="12"/>
      <c r="C13" s="12"/>
      <c r="D13" s="12"/>
      <c r="E13" s="11"/>
      <c r="F13" s="11"/>
      <c r="G13" s="11"/>
      <c r="H13" s="11"/>
      <c r="I13" s="11"/>
      <c r="J13" s="11"/>
      <c r="K13" s="11"/>
      <c r="L13" s="11"/>
      <c r="M13" s="11"/>
    </row>
    <row r="15" spans="2:13" x14ac:dyDescent="0.4">
      <c r="B15" s="29" t="s">
        <v>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9" spans="2:13" x14ac:dyDescent="0.4">
      <c r="B19" s="29" t="s">
        <v>5</v>
      </c>
      <c r="C19" s="29"/>
      <c r="D19" s="29"/>
      <c r="E19" s="2"/>
      <c r="F19" s="8" t="s">
        <v>6</v>
      </c>
      <c r="G19" s="2"/>
      <c r="H19" s="7" t="s">
        <v>7</v>
      </c>
      <c r="I19" s="7"/>
      <c r="J19" s="2"/>
      <c r="K19" s="29" t="s">
        <v>8</v>
      </c>
      <c r="L19" s="29"/>
      <c r="M19" s="29"/>
    </row>
    <row r="20" spans="2:13" ht="19.5" thickBot="1" x14ac:dyDescent="0.4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19.5" thickBot="1" x14ac:dyDescent="0.45">
      <c r="B21" s="32" t="s">
        <v>33</v>
      </c>
      <c r="C21" s="33"/>
      <c r="D21" s="16"/>
      <c r="E21" s="2"/>
      <c r="F21" s="16">
        <v>2</v>
      </c>
      <c r="G21" s="2"/>
      <c r="H21" s="45">
        <v>1200</v>
      </c>
      <c r="I21" s="46"/>
      <c r="J21" s="2"/>
      <c r="K21" s="45">
        <f>+F21*H21</f>
        <v>2400</v>
      </c>
      <c r="L21" s="47"/>
      <c r="M21" s="46"/>
    </row>
    <row r="22" spans="2:13" ht="19.5" thickBot="1" x14ac:dyDescent="0.45">
      <c r="B22" s="2"/>
      <c r="C22" s="2"/>
      <c r="D22" s="11"/>
      <c r="E22" s="2"/>
      <c r="F22" s="2"/>
      <c r="G22" s="2"/>
      <c r="H22" s="20"/>
      <c r="I22" s="20"/>
      <c r="J22" s="2"/>
      <c r="K22" s="20"/>
      <c r="L22" s="20"/>
      <c r="M22" s="20"/>
    </row>
    <row r="23" spans="2:13" ht="19.5" thickBot="1" x14ac:dyDescent="0.45">
      <c r="B23" s="32" t="s">
        <v>23</v>
      </c>
      <c r="C23" s="33"/>
      <c r="D23" s="16"/>
      <c r="E23" s="2"/>
      <c r="F23" s="16">
        <v>6</v>
      </c>
      <c r="G23" s="2"/>
      <c r="H23" s="45">
        <v>600</v>
      </c>
      <c r="I23" s="46"/>
      <c r="J23" s="2"/>
      <c r="K23" s="45">
        <f>+F23*H23</f>
        <v>3600</v>
      </c>
      <c r="L23" s="47"/>
      <c r="M23" s="46"/>
    </row>
    <row r="24" spans="2:13" ht="19.5" thickBot="1" x14ac:dyDescent="0.45">
      <c r="B24" s="2"/>
      <c r="C24" s="2"/>
      <c r="D24" s="11"/>
      <c r="E24" s="2"/>
      <c r="F24" s="2"/>
      <c r="G24" s="2"/>
      <c r="H24" s="20"/>
      <c r="I24" s="20"/>
      <c r="J24" s="2"/>
      <c r="K24" s="20"/>
      <c r="L24" s="20"/>
      <c r="M24" s="20"/>
    </row>
    <row r="25" spans="2:13" ht="19.5" thickBot="1" x14ac:dyDescent="0.45">
      <c r="B25" s="32" t="s">
        <v>9</v>
      </c>
      <c r="C25" s="33"/>
      <c r="D25" s="16"/>
      <c r="E25" s="2"/>
      <c r="F25" s="16">
        <v>0</v>
      </c>
      <c r="G25" s="2"/>
      <c r="H25" s="45">
        <v>0</v>
      </c>
      <c r="I25" s="46"/>
      <c r="J25" s="2"/>
      <c r="K25" s="45">
        <f>+F25*H25</f>
        <v>0</v>
      </c>
      <c r="L25" s="47"/>
      <c r="M25" s="46"/>
    </row>
    <row r="26" spans="2:13" ht="19.5" thickBot="1" x14ac:dyDescent="0.45">
      <c r="B26" s="2"/>
      <c r="C26" s="2"/>
      <c r="D26" s="11"/>
      <c r="E26" s="2"/>
      <c r="F26" s="2"/>
      <c r="G26" s="2"/>
      <c r="H26" s="20"/>
      <c r="I26" s="20"/>
      <c r="J26" s="2"/>
      <c r="K26" s="20"/>
      <c r="L26" s="20"/>
      <c r="M26" s="20"/>
    </row>
    <row r="27" spans="2:13" ht="19.5" thickBot="1" x14ac:dyDescent="0.45">
      <c r="B27" s="32" t="s">
        <v>22</v>
      </c>
      <c r="C27" s="33"/>
      <c r="D27" s="16"/>
      <c r="E27" s="2"/>
      <c r="F27" s="16">
        <v>0</v>
      </c>
      <c r="G27" s="2"/>
      <c r="H27" s="45">
        <v>0</v>
      </c>
      <c r="I27" s="46"/>
      <c r="J27" s="2"/>
      <c r="K27" s="45">
        <f>+F27*H27</f>
        <v>0</v>
      </c>
      <c r="L27" s="47"/>
      <c r="M27" s="46"/>
    </row>
    <row r="28" spans="2:13" ht="10.5" customHeight="1" x14ac:dyDescent="0.4">
      <c r="B28" s="48"/>
      <c r="C28" s="48"/>
      <c r="D28" s="15"/>
      <c r="E28" s="15"/>
      <c r="F28" s="2"/>
      <c r="G28" s="2"/>
      <c r="H28" s="21"/>
      <c r="I28" s="21"/>
      <c r="J28" s="2"/>
      <c r="K28" s="21"/>
      <c r="L28" s="21"/>
      <c r="M28" s="21"/>
    </row>
    <row r="29" spans="2:13" ht="19.5" thickBot="1" x14ac:dyDescent="0.45">
      <c r="B29" s="2"/>
      <c r="C29" s="2"/>
      <c r="D29" s="2"/>
      <c r="E29" s="2"/>
      <c r="F29" s="2"/>
      <c r="G29" s="2"/>
      <c r="H29" s="2"/>
      <c r="I29" s="2"/>
      <c r="J29" s="2"/>
      <c r="K29" s="21"/>
      <c r="L29" s="21"/>
      <c r="M29" s="21"/>
    </row>
    <row r="30" spans="2:13" ht="19.5" thickBot="1" x14ac:dyDescent="0.45">
      <c r="B30" s="32" t="s">
        <v>26</v>
      </c>
      <c r="C30" s="33"/>
      <c r="D30" s="33"/>
      <c r="E30" s="33"/>
      <c r="F30" s="33"/>
      <c r="G30" s="33"/>
      <c r="H30" s="34"/>
      <c r="I30" s="2"/>
      <c r="J30" s="2"/>
      <c r="K30" s="39">
        <f>SUM(K21:M27)</f>
        <v>6000</v>
      </c>
      <c r="L30" s="40"/>
      <c r="M30" s="41"/>
    </row>
    <row r="31" spans="2:13" x14ac:dyDescent="0.4">
      <c r="B31" s="11"/>
      <c r="C31" s="11"/>
      <c r="D31" s="11"/>
      <c r="E31" s="11"/>
      <c r="F31" s="11"/>
      <c r="G31" s="11"/>
      <c r="H31" s="11"/>
      <c r="I31" s="2"/>
      <c r="J31" s="2"/>
      <c r="K31" s="18"/>
      <c r="L31" s="18"/>
      <c r="M31" s="18"/>
    </row>
    <row r="32" spans="2:13" x14ac:dyDescent="0.4">
      <c r="B32" s="11"/>
      <c r="C32" s="11"/>
      <c r="D32" s="11"/>
      <c r="E32" s="11"/>
      <c r="F32" s="11"/>
      <c r="G32" s="11"/>
      <c r="H32" s="11"/>
      <c r="I32" s="2"/>
      <c r="J32" s="2"/>
      <c r="K32" s="18"/>
      <c r="L32" s="18"/>
      <c r="M32" s="18"/>
    </row>
    <row r="34" spans="2:13" x14ac:dyDescent="0.4">
      <c r="B34" s="29" t="s">
        <v>11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2:13" ht="19.5" thickBot="1" x14ac:dyDescent="0.45"/>
    <row r="36" spans="2:13" ht="19.5" thickBot="1" x14ac:dyDescent="0.45">
      <c r="D36" s="32" t="s">
        <v>27</v>
      </c>
      <c r="E36" s="33"/>
      <c r="F36" s="33"/>
      <c r="G36" s="34"/>
      <c r="I36" s="42">
        <f>+K30</f>
        <v>6000</v>
      </c>
      <c r="J36" s="49"/>
      <c r="K36" s="50"/>
    </row>
    <row r="37" spans="2:13" ht="19.5" thickBot="1" x14ac:dyDescent="0.45"/>
    <row r="38" spans="2:13" ht="19.5" thickBot="1" x14ac:dyDescent="0.45">
      <c r="D38" s="32" t="s">
        <v>24</v>
      </c>
      <c r="E38" s="33"/>
      <c r="F38" s="33"/>
      <c r="G38" s="34"/>
      <c r="I38" s="51">
        <f>+I36*50%</f>
        <v>3000</v>
      </c>
      <c r="J38" s="52"/>
      <c r="K38" s="53"/>
    </row>
    <row r="39" spans="2:13" ht="19.5" thickBot="1" x14ac:dyDescent="0.45"/>
    <row r="40" spans="2:13" ht="19.5" thickBot="1" x14ac:dyDescent="0.45">
      <c r="D40" s="32" t="s">
        <v>25</v>
      </c>
      <c r="E40" s="33"/>
      <c r="F40" s="33"/>
      <c r="G40" s="34"/>
      <c r="I40" s="42">
        <f>+I36*50%</f>
        <v>3000</v>
      </c>
      <c r="J40" s="43"/>
      <c r="K40" s="44"/>
    </row>
    <row r="41" spans="2:13" ht="19.5" customHeight="1" thickBot="1" x14ac:dyDescent="0.45"/>
    <row r="42" spans="2:13" ht="19.5" thickBot="1" x14ac:dyDescent="0.45">
      <c r="B42" s="32" t="s">
        <v>12</v>
      </c>
      <c r="C42" s="33"/>
      <c r="D42" s="33"/>
      <c r="E42" s="34"/>
      <c r="F42" s="2"/>
      <c r="G42" s="32" t="s">
        <v>13</v>
      </c>
      <c r="H42" s="33"/>
      <c r="I42" s="34"/>
      <c r="J42" s="2"/>
      <c r="K42" s="35">
        <v>18</v>
      </c>
      <c r="L42" s="36"/>
      <c r="M42" s="37"/>
    </row>
    <row r="43" spans="2:13" ht="19.5" customHeight="1" thickBot="1" x14ac:dyDescent="0.45">
      <c r="B43" s="38"/>
      <c r="C43" s="38"/>
      <c r="D43" s="38"/>
      <c r="E43" s="38"/>
      <c r="F43" s="2"/>
      <c r="G43" s="11"/>
      <c r="H43" s="11"/>
      <c r="I43" s="11"/>
      <c r="J43" s="2"/>
      <c r="K43" s="11"/>
      <c r="L43" s="11"/>
      <c r="M43" s="11"/>
    </row>
    <row r="44" spans="2:13" ht="19.5" thickBot="1" x14ac:dyDescent="0.45">
      <c r="B44" s="14"/>
      <c r="C44" s="14"/>
      <c r="D44" s="14"/>
      <c r="E44" s="14"/>
      <c r="F44" s="2"/>
      <c r="G44" s="32" t="s">
        <v>21</v>
      </c>
      <c r="H44" s="33"/>
      <c r="I44" s="34"/>
      <c r="J44" s="2"/>
      <c r="K44" s="39">
        <f>+I40/K42</f>
        <v>166.66666666666666</v>
      </c>
      <c r="L44" s="40"/>
      <c r="M44" s="41"/>
    </row>
    <row r="45" spans="2:13" x14ac:dyDescent="0.4">
      <c r="B45" s="28" t="s">
        <v>32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x14ac:dyDescent="0.4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3" x14ac:dyDescent="0.4">
      <c r="B47" s="29" t="s">
        <v>14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52" spans="2:13" ht="19.5" thickBot="1" x14ac:dyDescent="0.45">
      <c r="B52" s="19"/>
      <c r="C52" s="19"/>
      <c r="D52" s="19"/>
      <c r="E52" s="19"/>
      <c r="F52" s="19"/>
      <c r="G52" s="19"/>
      <c r="H52" s="2"/>
      <c r="I52" s="19"/>
      <c r="J52" s="19"/>
      <c r="K52" s="19"/>
      <c r="L52" s="19"/>
      <c r="M52" s="19"/>
    </row>
    <row r="53" spans="2:13" x14ac:dyDescent="0.4">
      <c r="B53" s="30" t="s">
        <v>15</v>
      </c>
      <c r="C53" s="30"/>
      <c r="D53" s="30"/>
      <c r="E53" s="30"/>
      <c r="F53" s="30"/>
      <c r="G53" s="30"/>
      <c r="H53" s="2"/>
      <c r="I53" s="30" t="s">
        <v>16</v>
      </c>
      <c r="J53" s="30"/>
      <c r="K53" s="30"/>
      <c r="L53" s="30"/>
      <c r="M53" s="30"/>
    </row>
    <row r="54" spans="2:13" x14ac:dyDescent="0.4">
      <c r="B54" s="31" t="s">
        <v>17</v>
      </c>
      <c r="C54" s="31"/>
      <c r="D54" s="31"/>
      <c r="E54" s="31"/>
      <c r="F54" s="31"/>
      <c r="G54" s="31"/>
      <c r="H54" s="2"/>
      <c r="I54" s="31" t="s">
        <v>18</v>
      </c>
      <c r="J54" s="31"/>
      <c r="K54" s="31"/>
      <c r="L54" s="31"/>
      <c r="M54" s="31"/>
    </row>
  </sheetData>
  <mergeCells count="43">
    <mergeCell ref="B3:M6"/>
    <mergeCell ref="B8:I9"/>
    <mergeCell ref="L8:M8"/>
    <mergeCell ref="L10:M10"/>
    <mergeCell ref="B12:D12"/>
    <mergeCell ref="E12:M12"/>
    <mergeCell ref="B15:M15"/>
    <mergeCell ref="B19:D19"/>
    <mergeCell ref="K19:M19"/>
    <mergeCell ref="B21:C21"/>
    <mergeCell ref="H21:I21"/>
    <mergeCell ref="K21:M21"/>
    <mergeCell ref="B23:C23"/>
    <mergeCell ref="H23:I23"/>
    <mergeCell ref="K23:M23"/>
    <mergeCell ref="B25:C25"/>
    <mergeCell ref="H25:I25"/>
    <mergeCell ref="K25:M25"/>
    <mergeCell ref="D40:G40"/>
    <mergeCell ref="I40:K40"/>
    <mergeCell ref="B27:C27"/>
    <mergeCell ref="H27:I27"/>
    <mergeCell ref="K27:M27"/>
    <mergeCell ref="B28:C28"/>
    <mergeCell ref="B30:H30"/>
    <mergeCell ref="K30:M30"/>
    <mergeCell ref="B34:M34"/>
    <mergeCell ref="D36:G36"/>
    <mergeCell ref="I36:K36"/>
    <mergeCell ref="D38:G38"/>
    <mergeCell ref="I38:K38"/>
    <mergeCell ref="B42:E42"/>
    <mergeCell ref="G42:I42"/>
    <mergeCell ref="K42:M42"/>
    <mergeCell ref="B43:E43"/>
    <mergeCell ref="G44:I44"/>
    <mergeCell ref="K44:M44"/>
    <mergeCell ref="B45:M45"/>
    <mergeCell ref="B47:M47"/>
    <mergeCell ref="B53:G53"/>
    <mergeCell ref="I53:M53"/>
    <mergeCell ref="B54:G54"/>
    <mergeCell ref="I54:M54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54"/>
  <sheetViews>
    <sheetView topLeftCell="A10" zoomScale="85" zoomScaleNormal="85" workbookViewId="0">
      <selection activeCell="H28" sqref="H28"/>
    </sheetView>
  </sheetViews>
  <sheetFormatPr baseColWidth="10" defaultColWidth="11.42578125" defaultRowHeight="18.75" x14ac:dyDescent="0.4"/>
  <cols>
    <col min="1" max="7" width="11.42578125" style="17"/>
    <col min="8" max="8" width="18.5703125" style="17" customWidth="1"/>
    <col min="9" max="16384" width="11.42578125" style="17"/>
  </cols>
  <sheetData>
    <row r="2" spans="2:13" ht="19.5" thickBot="1" x14ac:dyDescent="0.4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4">
      <c r="B3" s="54" t="s">
        <v>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2:13" x14ac:dyDescent="0.4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</row>
    <row r="5" spans="2:13" x14ac:dyDescent="0.4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2:13" ht="19.5" thickBot="1" x14ac:dyDescent="0.4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2:13" ht="19.5" thickBot="1" x14ac:dyDescent="0.4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9.5" thickBot="1" x14ac:dyDescent="0.45">
      <c r="B8" s="63" t="s">
        <v>20</v>
      </c>
      <c r="C8" s="64"/>
      <c r="D8" s="64"/>
      <c r="E8" s="64"/>
      <c r="F8" s="64"/>
      <c r="G8" s="64"/>
      <c r="H8" s="64"/>
      <c r="I8" s="64"/>
      <c r="J8" s="2"/>
      <c r="K8" s="4" t="s">
        <v>1</v>
      </c>
      <c r="L8" s="32"/>
      <c r="M8" s="34"/>
    </row>
    <row r="9" spans="2:13" ht="19.5" thickBot="1" x14ac:dyDescent="0.45">
      <c r="B9" s="65"/>
      <c r="C9" s="66"/>
      <c r="D9" s="66"/>
      <c r="E9" s="66"/>
      <c r="F9" s="66"/>
      <c r="G9" s="66"/>
      <c r="H9" s="66"/>
      <c r="I9" s="66"/>
      <c r="J9" s="2"/>
      <c r="K9" s="5"/>
      <c r="L9" s="2"/>
      <c r="M9" s="2"/>
    </row>
    <row r="10" spans="2:13" ht="19.5" thickBot="1" x14ac:dyDescent="0.45">
      <c r="B10" s="2"/>
      <c r="C10" s="2"/>
      <c r="D10" s="2"/>
      <c r="E10" s="2"/>
      <c r="F10" s="2"/>
      <c r="G10" s="2"/>
      <c r="H10" s="2"/>
      <c r="I10" s="2"/>
      <c r="J10" s="2"/>
      <c r="K10" s="6" t="s">
        <v>2</v>
      </c>
      <c r="L10" s="67"/>
      <c r="M10" s="34"/>
    </row>
    <row r="11" spans="2:13" ht="19.5" thickBot="1" x14ac:dyDescent="0.45">
      <c r="B11" s="2"/>
      <c r="C11" s="2"/>
      <c r="D11" s="2"/>
      <c r="E11" s="2"/>
      <c r="F11" s="2"/>
      <c r="G11" s="2"/>
      <c r="H11" s="2"/>
      <c r="I11" s="2"/>
      <c r="J11" s="2"/>
      <c r="K11" s="5"/>
      <c r="L11" s="11"/>
      <c r="M11" s="11"/>
    </row>
    <row r="12" spans="2:13" ht="18.75" customHeight="1" thickBot="1" x14ac:dyDescent="0.45">
      <c r="B12" s="68" t="s">
        <v>3</v>
      </c>
      <c r="C12" s="68"/>
      <c r="D12" s="68"/>
      <c r="E12" s="69"/>
      <c r="F12" s="70"/>
      <c r="G12" s="70"/>
      <c r="H12" s="70"/>
      <c r="I12" s="70"/>
      <c r="J12" s="70"/>
      <c r="K12" s="70"/>
      <c r="L12" s="70"/>
      <c r="M12" s="71"/>
    </row>
    <row r="13" spans="2:13" x14ac:dyDescent="0.4">
      <c r="B13" s="12"/>
      <c r="C13" s="12"/>
      <c r="D13" s="12"/>
      <c r="E13" s="11"/>
      <c r="F13" s="11"/>
      <c r="G13" s="11"/>
      <c r="H13" s="11"/>
      <c r="I13" s="11"/>
      <c r="J13" s="11"/>
      <c r="K13" s="11"/>
      <c r="L13" s="11"/>
      <c r="M13" s="11"/>
    </row>
    <row r="15" spans="2:13" x14ac:dyDescent="0.4">
      <c r="B15" s="29" t="s">
        <v>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9" spans="2:13" x14ac:dyDescent="0.4">
      <c r="B19" s="29" t="s">
        <v>5</v>
      </c>
      <c r="C19" s="29"/>
      <c r="D19" s="29"/>
      <c r="E19" s="2"/>
      <c r="F19" s="8" t="s">
        <v>6</v>
      </c>
      <c r="G19" s="2"/>
      <c r="H19" s="7" t="s">
        <v>7</v>
      </c>
      <c r="I19" s="7"/>
      <c r="J19" s="2"/>
      <c r="K19" s="29" t="s">
        <v>8</v>
      </c>
      <c r="L19" s="29"/>
      <c r="M19" s="29"/>
    </row>
    <row r="20" spans="2:13" ht="19.5" thickBot="1" x14ac:dyDescent="0.4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19.5" thickBot="1" x14ac:dyDescent="0.45">
      <c r="B21" s="32" t="s">
        <v>33</v>
      </c>
      <c r="C21" s="33"/>
      <c r="D21" s="16"/>
      <c r="E21" s="2"/>
      <c r="F21" s="16">
        <v>4</v>
      </c>
      <c r="G21" s="2"/>
      <c r="H21" s="45">
        <v>1100</v>
      </c>
      <c r="I21" s="46"/>
      <c r="J21" s="2"/>
      <c r="K21" s="45">
        <f>+F21*H21</f>
        <v>4400</v>
      </c>
      <c r="L21" s="47"/>
      <c r="M21" s="46"/>
    </row>
    <row r="22" spans="2:13" ht="19.5" thickBot="1" x14ac:dyDescent="0.45">
      <c r="B22" s="2"/>
      <c r="C22" s="2"/>
      <c r="D22" s="11"/>
      <c r="E22" s="2"/>
      <c r="F22" s="2"/>
      <c r="G22" s="2"/>
      <c r="H22" s="20"/>
      <c r="I22" s="20"/>
      <c r="J22" s="2"/>
      <c r="K22" s="20"/>
      <c r="L22" s="20"/>
      <c r="M22" s="20"/>
    </row>
    <row r="23" spans="2:13" ht="19.5" thickBot="1" x14ac:dyDescent="0.45">
      <c r="B23" s="32" t="s">
        <v>23</v>
      </c>
      <c r="C23" s="33"/>
      <c r="D23" s="16"/>
      <c r="E23" s="2"/>
      <c r="F23" s="16">
        <v>0</v>
      </c>
      <c r="G23" s="2"/>
      <c r="H23" s="45">
        <v>0</v>
      </c>
      <c r="I23" s="46"/>
      <c r="J23" s="2"/>
      <c r="K23" s="45">
        <f>+F23*H23</f>
        <v>0</v>
      </c>
      <c r="L23" s="47"/>
      <c r="M23" s="46"/>
    </row>
    <row r="24" spans="2:13" ht="19.5" thickBot="1" x14ac:dyDescent="0.45">
      <c r="B24" s="2"/>
      <c r="C24" s="2"/>
      <c r="D24" s="11"/>
      <c r="E24" s="2"/>
      <c r="F24" s="2"/>
      <c r="G24" s="2"/>
      <c r="H24" s="20"/>
      <c r="I24" s="20"/>
      <c r="J24" s="2"/>
      <c r="K24" s="20"/>
      <c r="L24" s="20"/>
      <c r="M24" s="20"/>
    </row>
    <row r="25" spans="2:13" ht="19.5" thickBot="1" x14ac:dyDescent="0.45">
      <c r="B25" s="32" t="s">
        <v>9</v>
      </c>
      <c r="C25" s="33"/>
      <c r="D25" s="16"/>
      <c r="E25" s="2"/>
      <c r="F25" s="16">
        <v>0</v>
      </c>
      <c r="G25" s="2"/>
      <c r="H25" s="45">
        <v>0</v>
      </c>
      <c r="I25" s="46"/>
      <c r="J25" s="2"/>
      <c r="K25" s="45">
        <f>+F25*H25</f>
        <v>0</v>
      </c>
      <c r="L25" s="47"/>
      <c r="M25" s="46"/>
    </row>
    <row r="26" spans="2:13" ht="19.5" thickBot="1" x14ac:dyDescent="0.45">
      <c r="B26" s="2"/>
      <c r="C26" s="2"/>
      <c r="D26" s="11"/>
      <c r="E26" s="2"/>
      <c r="F26" s="2"/>
      <c r="G26" s="2"/>
      <c r="H26" s="20"/>
      <c r="I26" s="20"/>
      <c r="J26" s="2"/>
      <c r="K26" s="20"/>
      <c r="L26" s="20"/>
      <c r="M26" s="20"/>
    </row>
    <row r="27" spans="2:13" ht="19.5" thickBot="1" x14ac:dyDescent="0.45">
      <c r="B27" s="32" t="s">
        <v>22</v>
      </c>
      <c r="C27" s="33"/>
      <c r="D27" s="16"/>
      <c r="E27" s="2"/>
      <c r="F27" s="16">
        <v>0</v>
      </c>
      <c r="G27" s="2"/>
      <c r="H27" s="45">
        <v>0</v>
      </c>
      <c r="I27" s="46"/>
      <c r="J27" s="2"/>
      <c r="K27" s="45">
        <f>+F27*H27</f>
        <v>0</v>
      </c>
      <c r="L27" s="47"/>
      <c r="M27" s="46"/>
    </row>
    <row r="28" spans="2:13" ht="10.5" customHeight="1" x14ac:dyDescent="0.4">
      <c r="B28" s="48"/>
      <c r="C28" s="48"/>
      <c r="D28" s="15"/>
      <c r="E28" s="15"/>
      <c r="F28" s="2"/>
      <c r="G28" s="2"/>
      <c r="H28" s="21"/>
      <c r="I28" s="21"/>
      <c r="J28" s="2"/>
      <c r="K28" s="21"/>
      <c r="L28" s="21"/>
      <c r="M28" s="21"/>
    </row>
    <row r="29" spans="2:13" ht="19.5" thickBot="1" x14ac:dyDescent="0.45">
      <c r="B29" s="2"/>
      <c r="C29" s="2"/>
      <c r="D29" s="2"/>
      <c r="E29" s="2"/>
      <c r="F29" s="2"/>
      <c r="G29" s="2"/>
      <c r="H29" s="2"/>
      <c r="I29" s="2"/>
      <c r="J29" s="2"/>
      <c r="K29" s="21"/>
      <c r="L29" s="21"/>
      <c r="M29" s="21"/>
    </row>
    <row r="30" spans="2:13" ht="19.5" thickBot="1" x14ac:dyDescent="0.45">
      <c r="B30" s="32" t="s">
        <v>26</v>
      </c>
      <c r="C30" s="33"/>
      <c r="D30" s="33"/>
      <c r="E30" s="33"/>
      <c r="F30" s="33"/>
      <c r="G30" s="33"/>
      <c r="H30" s="34"/>
      <c r="I30" s="2"/>
      <c r="J30" s="2"/>
      <c r="K30" s="39">
        <f>SUM(K21:M27)</f>
        <v>4400</v>
      </c>
      <c r="L30" s="40"/>
      <c r="M30" s="41"/>
    </row>
    <row r="31" spans="2:13" x14ac:dyDescent="0.4">
      <c r="B31" s="11"/>
      <c r="C31" s="11"/>
      <c r="D31" s="11"/>
      <c r="E31" s="11"/>
      <c r="F31" s="11"/>
      <c r="G31" s="11"/>
      <c r="H31" s="11"/>
      <c r="I31" s="2"/>
      <c r="J31" s="2"/>
      <c r="K31" s="18"/>
      <c r="L31" s="18"/>
      <c r="M31" s="18"/>
    </row>
    <row r="32" spans="2:13" x14ac:dyDescent="0.4">
      <c r="B32" s="11"/>
      <c r="C32" s="11"/>
      <c r="D32" s="11"/>
      <c r="E32" s="11"/>
      <c r="F32" s="11"/>
      <c r="G32" s="11"/>
      <c r="H32" s="11"/>
      <c r="I32" s="2"/>
      <c r="J32" s="2"/>
      <c r="K32" s="18"/>
      <c r="L32" s="18"/>
      <c r="M32" s="18"/>
    </row>
    <row r="34" spans="2:13" x14ac:dyDescent="0.4">
      <c r="B34" s="29" t="s">
        <v>11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2:13" ht="19.5" thickBot="1" x14ac:dyDescent="0.45"/>
    <row r="36" spans="2:13" ht="19.5" thickBot="1" x14ac:dyDescent="0.45">
      <c r="D36" s="32" t="s">
        <v>27</v>
      </c>
      <c r="E36" s="33"/>
      <c r="F36" s="33"/>
      <c r="G36" s="34"/>
      <c r="I36" s="42">
        <f>+K30</f>
        <v>4400</v>
      </c>
      <c r="J36" s="49"/>
      <c r="K36" s="50"/>
    </row>
    <row r="37" spans="2:13" ht="19.5" thickBot="1" x14ac:dyDescent="0.45"/>
    <row r="38" spans="2:13" ht="19.5" thickBot="1" x14ac:dyDescent="0.45">
      <c r="D38" s="32" t="s">
        <v>24</v>
      </c>
      <c r="E38" s="33"/>
      <c r="F38" s="33"/>
      <c r="G38" s="34"/>
      <c r="I38" s="51">
        <f>+I36*50%</f>
        <v>2200</v>
      </c>
      <c r="J38" s="52"/>
      <c r="K38" s="53"/>
    </row>
    <row r="39" spans="2:13" ht="19.5" thickBot="1" x14ac:dyDescent="0.45"/>
    <row r="40" spans="2:13" ht="19.5" thickBot="1" x14ac:dyDescent="0.45">
      <c r="D40" s="32" t="s">
        <v>25</v>
      </c>
      <c r="E40" s="33"/>
      <c r="F40" s="33"/>
      <c r="G40" s="34"/>
      <c r="I40" s="42">
        <f>+I36*50%</f>
        <v>2200</v>
      </c>
      <c r="J40" s="43"/>
      <c r="K40" s="44"/>
    </row>
    <row r="41" spans="2:13" ht="19.5" customHeight="1" thickBot="1" x14ac:dyDescent="0.45"/>
    <row r="42" spans="2:13" ht="19.5" thickBot="1" x14ac:dyDescent="0.45">
      <c r="B42" s="32" t="s">
        <v>12</v>
      </c>
      <c r="C42" s="33"/>
      <c r="D42" s="33"/>
      <c r="E42" s="34"/>
      <c r="F42" s="2"/>
      <c r="G42" s="32" t="s">
        <v>13</v>
      </c>
      <c r="H42" s="33"/>
      <c r="I42" s="34"/>
      <c r="J42" s="2"/>
      <c r="K42" s="35">
        <v>18</v>
      </c>
      <c r="L42" s="36"/>
      <c r="M42" s="37"/>
    </row>
    <row r="43" spans="2:13" ht="19.5" customHeight="1" thickBot="1" x14ac:dyDescent="0.45">
      <c r="B43" s="38"/>
      <c r="C43" s="38"/>
      <c r="D43" s="38"/>
      <c r="E43" s="38"/>
      <c r="F43" s="2"/>
      <c r="G43" s="11"/>
      <c r="H43" s="11"/>
      <c r="I43" s="11"/>
      <c r="J43" s="2"/>
      <c r="K43" s="11"/>
      <c r="L43" s="11"/>
      <c r="M43" s="11"/>
    </row>
    <row r="44" spans="2:13" ht="19.5" thickBot="1" x14ac:dyDescent="0.45">
      <c r="B44" s="14"/>
      <c r="C44" s="14"/>
      <c r="D44" s="14"/>
      <c r="E44" s="14"/>
      <c r="F44" s="2"/>
      <c r="G44" s="32" t="s">
        <v>21</v>
      </c>
      <c r="H44" s="33"/>
      <c r="I44" s="34"/>
      <c r="J44" s="2"/>
      <c r="K44" s="39">
        <f>+I40/K42</f>
        <v>122.22222222222223</v>
      </c>
      <c r="L44" s="40"/>
      <c r="M44" s="41"/>
    </row>
    <row r="45" spans="2:13" x14ac:dyDescent="0.4">
      <c r="B45" s="28" t="s">
        <v>32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x14ac:dyDescent="0.4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2:13" x14ac:dyDescent="0.4">
      <c r="B47" s="29" t="s">
        <v>14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52" spans="2:13" ht="19.5" thickBot="1" x14ac:dyDescent="0.45">
      <c r="B52" s="19"/>
      <c r="C52" s="19"/>
      <c r="D52" s="19"/>
      <c r="E52" s="19"/>
      <c r="F52" s="19"/>
      <c r="G52" s="19"/>
      <c r="H52" s="2"/>
      <c r="I52" s="19"/>
      <c r="J52" s="19"/>
      <c r="K52" s="19"/>
      <c r="L52" s="19"/>
      <c r="M52" s="19"/>
    </row>
    <row r="53" spans="2:13" x14ac:dyDescent="0.4">
      <c r="B53" s="30" t="s">
        <v>15</v>
      </c>
      <c r="C53" s="30"/>
      <c r="D53" s="30"/>
      <c r="E53" s="30"/>
      <c r="F53" s="30"/>
      <c r="G53" s="30"/>
      <c r="H53" s="2"/>
      <c r="I53" s="30" t="s">
        <v>16</v>
      </c>
      <c r="J53" s="30"/>
      <c r="K53" s="30"/>
      <c r="L53" s="30"/>
      <c r="M53" s="30"/>
    </row>
    <row r="54" spans="2:13" x14ac:dyDescent="0.4">
      <c r="B54" s="31" t="s">
        <v>17</v>
      </c>
      <c r="C54" s="31"/>
      <c r="D54" s="31"/>
      <c r="E54" s="31"/>
      <c r="F54" s="31"/>
      <c r="G54" s="31"/>
      <c r="H54" s="2"/>
      <c r="I54" s="31" t="s">
        <v>18</v>
      </c>
      <c r="J54" s="31"/>
      <c r="K54" s="31"/>
      <c r="L54" s="31"/>
      <c r="M54" s="31"/>
    </row>
  </sheetData>
  <mergeCells count="43">
    <mergeCell ref="B54:G54"/>
    <mergeCell ref="I54:M54"/>
    <mergeCell ref="B43:E43"/>
    <mergeCell ref="B27:C27"/>
    <mergeCell ref="B28:C28"/>
    <mergeCell ref="B42:E42"/>
    <mergeCell ref="G42:I42"/>
    <mergeCell ref="D40:G40"/>
    <mergeCell ref="I40:K40"/>
    <mergeCell ref="K42:M42"/>
    <mergeCell ref="D36:G36"/>
    <mergeCell ref="I36:K36"/>
    <mergeCell ref="H27:I27"/>
    <mergeCell ref="B47:M47"/>
    <mergeCell ref="B45:M45"/>
    <mergeCell ref="B53:G53"/>
    <mergeCell ref="B25:C25"/>
    <mergeCell ref="B23:C23"/>
    <mergeCell ref="B30:H30"/>
    <mergeCell ref="B34:M34"/>
    <mergeCell ref="K25:M25"/>
    <mergeCell ref="K27:M27"/>
    <mergeCell ref="H25:I25"/>
    <mergeCell ref="I53:M53"/>
    <mergeCell ref="K30:M30"/>
    <mergeCell ref="I38:K38"/>
    <mergeCell ref="G44:I44"/>
    <mergeCell ref="K44:M44"/>
    <mergeCell ref="D38:G38"/>
    <mergeCell ref="K21:M21"/>
    <mergeCell ref="K23:M23"/>
    <mergeCell ref="B19:D19"/>
    <mergeCell ref="B15:M15"/>
    <mergeCell ref="H23:I23"/>
    <mergeCell ref="H21:I21"/>
    <mergeCell ref="B21:C21"/>
    <mergeCell ref="B3:M6"/>
    <mergeCell ref="L8:M8"/>
    <mergeCell ref="L10:M10"/>
    <mergeCell ref="B12:D12"/>
    <mergeCell ref="K19:M19"/>
    <mergeCell ref="B8:I9"/>
    <mergeCell ref="E12:M12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54"/>
  <sheetViews>
    <sheetView topLeftCell="A32" workbookViewId="0">
      <selection activeCell="K42" sqref="K42:M42"/>
    </sheetView>
  </sheetViews>
  <sheetFormatPr baseColWidth="10" defaultRowHeight="15" x14ac:dyDescent="0.25"/>
  <cols>
    <col min="8" max="8" width="16.28515625" customWidth="1"/>
    <col min="9" max="9" width="14.7109375" customWidth="1"/>
    <col min="11" max="11" width="13.140625" bestFit="1" customWidth="1"/>
  </cols>
  <sheetData>
    <row r="2" spans="2:13" ht="15.75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54" t="s">
        <v>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2:13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</row>
    <row r="5" spans="2:13" x14ac:dyDescent="0.25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2:13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9"/>
    </row>
    <row r="7" spans="2:13" ht="15.75" thickBot="1" x14ac:dyDescent="0.3"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 ht="15.75" thickBo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ht="19.5" thickBot="1" x14ac:dyDescent="0.3">
      <c r="B9" s="63" t="s">
        <v>19</v>
      </c>
      <c r="C9" s="64"/>
      <c r="D9" s="64"/>
      <c r="E9" s="64"/>
      <c r="F9" s="64"/>
      <c r="G9" s="64"/>
      <c r="H9" s="64"/>
      <c r="I9" s="64"/>
      <c r="J9" s="1"/>
      <c r="K9" s="4" t="s">
        <v>1</v>
      </c>
      <c r="L9" s="72"/>
      <c r="M9" s="73"/>
    </row>
    <row r="10" spans="2:13" ht="19.5" thickBot="1" x14ac:dyDescent="0.3">
      <c r="B10" s="65"/>
      <c r="C10" s="66"/>
      <c r="D10" s="66"/>
      <c r="E10" s="66"/>
      <c r="F10" s="66"/>
      <c r="G10" s="66"/>
      <c r="H10" s="66"/>
      <c r="I10" s="66"/>
      <c r="J10" s="1"/>
      <c r="K10" s="5"/>
      <c r="L10" s="1"/>
      <c r="M10" s="1"/>
    </row>
    <row r="11" spans="2:13" ht="19.5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6" t="s">
        <v>2</v>
      </c>
      <c r="L11" s="72"/>
      <c r="M11" s="73"/>
    </row>
    <row r="12" spans="2:13" ht="19.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5"/>
      <c r="L12" s="9"/>
      <c r="M12" s="9"/>
    </row>
    <row r="13" spans="2:13" ht="19.5" thickBot="1" x14ac:dyDescent="0.3">
      <c r="B13" s="68" t="s">
        <v>3</v>
      </c>
      <c r="C13" s="68"/>
      <c r="D13" s="68"/>
      <c r="E13" s="69"/>
      <c r="F13" s="70"/>
      <c r="G13" s="70"/>
      <c r="H13" s="70"/>
      <c r="I13" s="70"/>
      <c r="J13" s="70"/>
      <c r="K13" s="70"/>
      <c r="L13" s="70"/>
      <c r="M13" s="71"/>
    </row>
    <row r="14" spans="2:13" ht="18.75" x14ac:dyDescent="0.25">
      <c r="B14" s="12"/>
      <c r="C14" s="12"/>
      <c r="D14" s="12"/>
      <c r="E14" s="9"/>
      <c r="F14" s="9"/>
      <c r="G14" s="9"/>
      <c r="H14" s="9"/>
      <c r="I14" s="9"/>
      <c r="J14" s="9"/>
      <c r="K14" s="9"/>
      <c r="L14" s="9"/>
      <c r="M14" s="9"/>
    </row>
    <row r="16" spans="2:13" ht="18.75" x14ac:dyDescent="0.4">
      <c r="B16" s="29" t="s">
        <v>4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20" spans="2:13" ht="18.75" x14ac:dyDescent="0.4">
      <c r="B20" s="29" t="s">
        <v>5</v>
      </c>
      <c r="C20" s="29"/>
      <c r="D20" s="29"/>
      <c r="E20" s="1"/>
      <c r="F20" s="8" t="s">
        <v>6</v>
      </c>
      <c r="G20" s="1"/>
      <c r="H20" s="7" t="s">
        <v>7</v>
      </c>
      <c r="I20" s="7"/>
      <c r="J20" s="1"/>
      <c r="K20" s="29" t="s">
        <v>8</v>
      </c>
      <c r="L20" s="29"/>
      <c r="M20" s="29"/>
    </row>
    <row r="21" spans="2:13" ht="15.75" thickBo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19.5" thickBot="1" x14ac:dyDescent="0.45">
      <c r="B22" s="32"/>
      <c r="C22" s="33"/>
      <c r="D22" s="3"/>
      <c r="E22" s="2"/>
      <c r="F22" s="16">
        <v>1</v>
      </c>
      <c r="G22" s="2"/>
      <c r="H22" s="22">
        <v>14680</v>
      </c>
      <c r="I22" s="24"/>
      <c r="J22" s="2"/>
      <c r="K22" s="22">
        <f>F22*H22</f>
        <v>14680</v>
      </c>
      <c r="L22" s="23"/>
      <c r="M22" s="24"/>
    </row>
    <row r="23" spans="2:13" ht="19.5" thickBot="1" x14ac:dyDescent="0.45">
      <c r="B23" s="48" t="s">
        <v>29</v>
      </c>
      <c r="C23" s="48"/>
      <c r="D23" s="27" t="s">
        <v>30</v>
      </c>
      <c r="E23" s="2"/>
      <c r="F23" s="2"/>
      <c r="G23" s="2"/>
      <c r="H23" s="20"/>
      <c r="I23" s="20"/>
      <c r="J23" s="2"/>
      <c r="K23" s="20"/>
      <c r="L23" s="20"/>
      <c r="M23" s="20"/>
    </row>
    <row r="24" spans="2:13" ht="19.5" thickBot="1" x14ac:dyDescent="0.45">
      <c r="B24" s="32"/>
      <c r="C24" s="33"/>
      <c r="D24" s="3"/>
      <c r="E24" s="2"/>
      <c r="F24" s="16">
        <v>4</v>
      </c>
      <c r="G24" s="2"/>
      <c r="H24" s="22">
        <v>1000</v>
      </c>
      <c r="I24" s="24"/>
      <c r="J24" s="2"/>
      <c r="K24" s="22">
        <f>+F24*H24</f>
        <v>4000</v>
      </c>
      <c r="L24" s="23"/>
      <c r="M24" s="24"/>
    </row>
    <row r="25" spans="2:13" ht="19.5" thickBot="1" x14ac:dyDescent="0.45">
      <c r="B25" s="48" t="s">
        <v>29</v>
      </c>
      <c r="C25" s="48"/>
      <c r="D25" s="27" t="s">
        <v>30</v>
      </c>
      <c r="E25" s="2"/>
      <c r="F25" s="2"/>
      <c r="G25" s="2"/>
      <c r="H25" s="20"/>
      <c r="I25" s="20"/>
      <c r="J25" s="2"/>
      <c r="K25" s="20"/>
      <c r="L25" s="20"/>
      <c r="M25" s="20"/>
    </row>
    <row r="26" spans="2:13" ht="19.5" thickBot="1" x14ac:dyDescent="0.45">
      <c r="B26" s="32"/>
      <c r="C26" s="33"/>
      <c r="D26" s="3"/>
      <c r="E26" s="2"/>
      <c r="F26" s="16">
        <v>0</v>
      </c>
      <c r="G26" s="2"/>
      <c r="H26" s="45">
        <v>0</v>
      </c>
      <c r="I26" s="46"/>
      <c r="J26" s="2"/>
      <c r="K26" s="45">
        <f>+F26*H26</f>
        <v>0</v>
      </c>
      <c r="L26" s="47"/>
      <c r="M26" s="46"/>
    </row>
    <row r="27" spans="2:13" ht="19.5" thickBot="1" x14ac:dyDescent="0.45">
      <c r="B27" s="48" t="s">
        <v>29</v>
      </c>
      <c r="C27" s="48"/>
      <c r="D27" s="27" t="s">
        <v>30</v>
      </c>
      <c r="E27" s="2"/>
      <c r="F27" s="2"/>
      <c r="G27" s="2"/>
      <c r="H27" s="20"/>
      <c r="I27" s="20"/>
      <c r="J27" s="2"/>
      <c r="K27" s="20"/>
      <c r="L27" s="20"/>
      <c r="M27" s="20"/>
    </row>
    <row r="28" spans="2:13" ht="19.5" thickBot="1" x14ac:dyDescent="0.45">
      <c r="B28" s="32"/>
      <c r="C28" s="33"/>
      <c r="D28" s="3"/>
      <c r="E28" s="2"/>
      <c r="F28" s="16"/>
      <c r="G28" s="2"/>
      <c r="H28" s="45"/>
      <c r="I28" s="46"/>
      <c r="J28" s="2"/>
      <c r="K28" s="45">
        <f>+F28*H28</f>
        <v>0</v>
      </c>
      <c r="L28" s="47"/>
      <c r="M28" s="46"/>
    </row>
    <row r="29" spans="2:13" x14ac:dyDescent="0.25">
      <c r="B29" s="48" t="s">
        <v>29</v>
      </c>
      <c r="C29" s="48"/>
      <c r="D29" s="27" t="s">
        <v>30</v>
      </c>
      <c r="E29" s="1"/>
      <c r="F29" s="1"/>
      <c r="G29" s="1"/>
      <c r="H29" s="1"/>
      <c r="I29" s="1"/>
      <c r="J29" s="1"/>
      <c r="K29" s="1"/>
      <c r="L29" s="1"/>
      <c r="M29" s="1"/>
    </row>
    <row r="30" spans="2:13" ht="15.75" thickBo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ht="19.5" thickBot="1" x14ac:dyDescent="0.45">
      <c r="B31" s="32" t="s">
        <v>10</v>
      </c>
      <c r="C31" s="33"/>
      <c r="D31" s="33"/>
      <c r="E31" s="33"/>
      <c r="F31" s="33"/>
      <c r="G31" s="33"/>
      <c r="H31" s="34"/>
      <c r="I31" s="2"/>
      <c r="J31" s="1"/>
      <c r="K31" s="74">
        <f>K22+K24+K26+K28</f>
        <v>18680</v>
      </c>
      <c r="L31" s="75"/>
      <c r="M31" s="76"/>
    </row>
    <row r="32" spans="2:13" ht="18.75" x14ac:dyDescent="0.4">
      <c r="B32" s="11"/>
      <c r="C32" s="11"/>
      <c r="D32" s="11"/>
      <c r="E32" s="11"/>
      <c r="F32" s="11"/>
      <c r="G32" s="11"/>
      <c r="H32" s="11"/>
      <c r="I32" s="2"/>
      <c r="J32" s="1"/>
    </row>
    <row r="33" spans="2:13" ht="18.75" x14ac:dyDescent="0.4">
      <c r="B33" s="11"/>
      <c r="C33" s="11"/>
      <c r="D33" s="11"/>
      <c r="E33" s="11"/>
      <c r="F33" s="11"/>
      <c r="G33" s="11"/>
      <c r="H33" s="11"/>
      <c r="I33" s="2"/>
      <c r="J33" s="1"/>
    </row>
    <row r="35" spans="2:13" ht="18.75" x14ac:dyDescent="0.4">
      <c r="B35" s="29" t="s">
        <v>11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7" spans="2:13" ht="19.5" thickBot="1" x14ac:dyDescent="0.45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2:13" ht="19.5" thickBot="1" x14ac:dyDescent="0.45">
      <c r="B38" s="17"/>
      <c r="C38" s="17"/>
      <c r="D38" s="77" t="s">
        <v>27</v>
      </c>
      <c r="E38" s="78"/>
      <c r="F38" s="78"/>
      <c r="G38" s="79"/>
      <c r="H38" s="17"/>
      <c r="I38" s="42">
        <f>K31</f>
        <v>18680</v>
      </c>
      <c r="J38" s="49"/>
      <c r="K38" s="50"/>
      <c r="L38" s="17"/>
      <c r="M38" s="17"/>
    </row>
    <row r="39" spans="2:13" ht="19.5" thickBot="1" x14ac:dyDescent="0.45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2:13" ht="19.5" thickBot="1" x14ac:dyDescent="0.45">
      <c r="B40" s="77" t="s">
        <v>31</v>
      </c>
      <c r="C40" s="78"/>
      <c r="D40" s="78"/>
      <c r="E40" s="79"/>
      <c r="F40" s="2"/>
      <c r="G40" s="32" t="s">
        <v>13</v>
      </c>
      <c r="H40" s="33"/>
      <c r="I40" s="34"/>
      <c r="J40" s="2"/>
      <c r="K40" s="35">
        <v>52</v>
      </c>
      <c r="L40" s="36"/>
      <c r="M40" s="37"/>
    </row>
    <row r="41" spans="2:13" ht="19.5" thickBot="1" x14ac:dyDescent="0.45">
      <c r="B41" s="38"/>
      <c r="C41" s="38"/>
      <c r="D41" s="38"/>
      <c r="E41" s="38"/>
      <c r="F41" s="2"/>
      <c r="G41" s="11"/>
      <c r="H41" s="11"/>
      <c r="I41" s="11"/>
      <c r="J41" s="2"/>
      <c r="K41" s="11"/>
      <c r="L41" s="11"/>
      <c r="M41" s="11"/>
    </row>
    <row r="42" spans="2:13" ht="19.5" thickBot="1" x14ac:dyDescent="0.45">
      <c r="B42" s="14"/>
      <c r="C42" s="14"/>
      <c r="D42" s="14"/>
      <c r="E42" s="14"/>
      <c r="F42" s="2"/>
      <c r="G42" s="32" t="s">
        <v>21</v>
      </c>
      <c r="H42" s="33"/>
      <c r="I42" s="34"/>
      <c r="J42" s="2"/>
      <c r="K42" s="39">
        <f>+I38/K40</f>
        <v>359.23076923076923</v>
      </c>
      <c r="L42" s="40"/>
      <c r="M42" s="41"/>
    </row>
    <row r="43" spans="2:13" ht="15" customHeight="1" x14ac:dyDescent="0.25">
      <c r="G43" s="48" t="s">
        <v>28</v>
      </c>
      <c r="H43" s="48"/>
      <c r="I43" s="48"/>
      <c r="J43" s="25"/>
    </row>
    <row r="44" spans="2:13" ht="15" customHeight="1" x14ac:dyDescent="0.25">
      <c r="G44" s="26"/>
      <c r="H44" s="26"/>
      <c r="I44" s="26"/>
      <c r="J44" s="15"/>
    </row>
    <row r="45" spans="2:13" x14ac:dyDescent="0.25">
      <c r="B45" s="28" t="s">
        <v>32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2:13" ht="18.75" x14ac:dyDescent="0.4">
      <c r="B47" s="29" t="s">
        <v>14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52" spans="2:13" ht="15.75" thickBot="1" x14ac:dyDescent="0.3">
      <c r="B52" s="10"/>
      <c r="C52" s="10"/>
      <c r="D52" s="10"/>
      <c r="E52" s="10"/>
      <c r="F52" s="10"/>
      <c r="G52" s="10"/>
      <c r="H52" s="1"/>
      <c r="I52" s="10"/>
      <c r="J52" s="10"/>
      <c r="K52" s="10"/>
      <c r="L52" s="10"/>
      <c r="M52" s="10"/>
    </row>
    <row r="53" spans="2:13" ht="18.75" x14ac:dyDescent="0.4">
      <c r="B53" s="30" t="s">
        <v>15</v>
      </c>
      <c r="C53" s="30"/>
      <c r="D53" s="30"/>
      <c r="E53" s="30"/>
      <c r="F53" s="30"/>
      <c r="G53" s="30"/>
      <c r="H53" s="1"/>
      <c r="I53" s="30" t="s">
        <v>16</v>
      </c>
      <c r="J53" s="30"/>
      <c r="K53" s="30"/>
      <c r="L53" s="30"/>
      <c r="M53" s="30"/>
    </row>
    <row r="54" spans="2:13" ht="18.75" x14ac:dyDescent="0.4">
      <c r="B54" s="31" t="s">
        <v>17</v>
      </c>
      <c r="C54" s="31"/>
      <c r="D54" s="31"/>
      <c r="E54" s="31"/>
      <c r="F54" s="31"/>
      <c r="G54" s="31"/>
      <c r="H54" s="1"/>
      <c r="I54" s="31" t="s">
        <v>18</v>
      </c>
      <c r="J54" s="31"/>
      <c r="K54" s="31"/>
      <c r="L54" s="31"/>
      <c r="M54" s="31"/>
    </row>
  </sheetData>
  <mergeCells count="39">
    <mergeCell ref="B45:M45"/>
    <mergeCell ref="G43:I43"/>
    <mergeCell ref="B23:C23"/>
    <mergeCell ref="B25:C25"/>
    <mergeCell ref="B27:C27"/>
    <mergeCell ref="B29:C29"/>
    <mergeCell ref="B40:E40"/>
    <mergeCell ref="G40:I40"/>
    <mergeCell ref="K40:M40"/>
    <mergeCell ref="B41:E41"/>
    <mergeCell ref="G42:I42"/>
    <mergeCell ref="K42:M42"/>
    <mergeCell ref="D38:G38"/>
    <mergeCell ref="I38:K38"/>
    <mergeCell ref="B35:M35"/>
    <mergeCell ref="B24:C24"/>
    <mergeCell ref="B54:G54"/>
    <mergeCell ref="I54:M54"/>
    <mergeCell ref="B47:M47"/>
    <mergeCell ref="B53:G53"/>
    <mergeCell ref="I53:M53"/>
    <mergeCell ref="B31:H31"/>
    <mergeCell ref="K31:M31"/>
    <mergeCell ref="B16:M16"/>
    <mergeCell ref="B20:D20"/>
    <mergeCell ref="K20:M20"/>
    <mergeCell ref="B22:C22"/>
    <mergeCell ref="B26:C26"/>
    <mergeCell ref="H26:I26"/>
    <mergeCell ref="K26:M26"/>
    <mergeCell ref="B28:C28"/>
    <mergeCell ref="H28:I28"/>
    <mergeCell ref="K28:M28"/>
    <mergeCell ref="B3:M7"/>
    <mergeCell ref="B9:I10"/>
    <mergeCell ref="L9:M9"/>
    <mergeCell ref="L11:M11"/>
    <mergeCell ref="B13:D13"/>
    <mergeCell ref="E13:M13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GABRIEL ARANDA ZENDEJAS</vt:lpstr>
      <vt:lpstr>INTERNA</vt:lpstr>
      <vt:lpstr>EXTERNA</vt:lpstr>
      <vt:lpstr>EXTERNA!Área_de_impresión</vt:lpstr>
      <vt:lpstr>'GABRIEL ARANDA ZENDEJAS'!Área_de_impresión</vt:lpstr>
      <vt:lpstr>INTERNA!Área_de_impresión</vt:lpstr>
    </vt:vector>
  </TitlesOfParts>
  <Company>SCHT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Erick Mancilla</cp:lastModifiedBy>
  <cp:lastPrinted>2026-04-14T19:56:26Z</cp:lastPrinted>
  <dcterms:created xsi:type="dcterms:W3CDTF">2026-04-13T18:02:04Z</dcterms:created>
  <dcterms:modified xsi:type="dcterms:W3CDTF">2026-06-23T15:53:04Z</dcterms:modified>
</cp:coreProperties>
</file>